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" sheetId="1" r:id="rId5"/>
    <sheet state="visible" name="Haji Plus" sheetId="2" r:id="rId6"/>
    <sheet state="visible" name="Haji Furoda" sheetId="3" r:id="rId7"/>
  </sheets>
  <definedNames/>
  <calcPr/>
</workbook>
</file>

<file path=xl/sharedStrings.xml><?xml version="1.0" encoding="utf-8"?>
<sst xmlns="http://schemas.openxmlformats.org/spreadsheetml/2006/main" count="40" uniqueCount="30">
  <si>
    <t>Tahun Keberangkatan</t>
  </si>
  <si>
    <t>Biaya Pendaftaran / Setoran Awal (IDR)</t>
  </si>
  <si>
    <t>Bipih (Dibayar Jemaah) (IDR)</t>
  </si>
  <si>
    <t>Nilai Manfaat (Subsidi BPKH) (IDR)</t>
  </si>
  <si>
    <t>Total BPIH (Bipih + NM) (IDR)</t>
  </si>
  <si>
    <t>Column 1</t>
  </si>
  <si>
    <t>Tahun Penawaran</t>
  </si>
  <si>
    <t>Nama Travel / Asosiasi</t>
  </si>
  <si>
    <t>Uang Muka / Setoran Awal (USD)</t>
  </si>
  <si>
    <t>Total Harga Paket Standard (USD)</t>
  </si>
  <si>
    <t>Estimasi Masa Tunggu (Tahun)</t>
  </si>
  <si>
    <t>Kemenag / AMPHURI</t>
  </si>
  <si>
    <t>Cheria Travel / AMPHURI</t>
  </si>
  <si>
    <t>Kemenag / PIHK</t>
  </si>
  <si>
    <t>AMPHURI / PIHK</t>
  </si>
  <si>
    <t>Al Hijaz Indowisata</t>
  </si>
  <si>
    <t>Zafa Tour</t>
  </si>
  <si>
    <t>Namira Travel</t>
  </si>
  <si>
    <t>Kemenag / HIMPUH</t>
  </si>
  <si>
    <t>Darmawisata Indonesia / Almira Travel</t>
  </si>
  <si>
    <t>Biaya Minimum Paket (USD)</t>
  </si>
  <si>
    <t>Biaya Maksimum Paket (USD)</t>
  </si>
  <si>
    <t>Catatan Risiko Keberhasilan Penerbitan Visa &amp; Hambatan Lapangan</t>
  </si>
  <si>
    <t>Fase awal implementasi UU 8/2019; tingkat keberhasilan penerbitan visa optimal karena pengawasan kepatuhan asosiasi masih longgar.</t>
  </si>
  <si>
    <t>Pandemi COVID-19; operasional penerbangan haji internasional ditiadakan total demi mitigasi kesehatan.</t>
  </si>
  <si>
    <t>Risiko tinggi; banyak visa mujamalah baru disetujui pada akhir operasional (injury time), memicu kegagalan berangkat ribuan jemaah.</t>
  </si>
  <si>
    <t>Risiko menengah; visa berhasil diterbitkan secara bertahap namun biaya layanan Masyair melonjak tajam membebani struktur PIHK.</t>
  </si>
  <si>
    <t>Risiko menengah; pengetatan dokumen kontrak dari kementerian haji Saudi mendorong integrasi sistem pendaftaran visa satu pintu.</t>
  </si>
  <si>
    <t>Risiko tinggi; penyebaran tawaran kuota fiktif dari agen non-resmi memicu kepanikan pembelian (panic buying) dan kerugian finansial.</t>
  </si>
  <si>
    <t>Risiko ekstrem; pasokan kuota visa sangat dibatasi otoritas Saudi dibarengi laporan kasus tertahannya uang muka operasional pada agen lokal.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</si>
</sst>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egu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ji Pl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ji Furo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8" displayName="Table3" name="Table3" id="1">
  <tableColumns count="6">
    <tableColumn name="Tahun Keberangkatan" id="1"/>
    <tableColumn name="Biaya Pendaftaran / Setoran Awal (IDR)" id="2"/>
    <tableColumn name="Bipih (Dibayar Jemaah) (IDR)" id="3"/>
    <tableColumn name="Nilai Manfaat (Subsidi BPKH) (IDR)" id="4"/>
    <tableColumn name="Total BPIH (Bipih + NM) (IDR)" id="5"/>
    <tableColumn name="Column 1" id="6"/>
  </tableColumns>
  <tableStyleInfo name="Regular-style" showColumnStripes="0" showFirstColumn="1" showLastColumn="1" showRowStripes="1"/>
</table>
</file>

<file path=xl/tables/table2.xml><?xml version="1.0" encoding="utf-8"?>
<table xmlns="http://schemas.openxmlformats.org/spreadsheetml/2006/main" ref="A1:E18" displayName="Table1" name="Table1" id="2">
  <tableColumns count="5">
    <tableColumn name="Tahun Penawaran" id="1"/>
    <tableColumn name="Nama Travel / Asosiasi" id="2"/>
    <tableColumn name="Uang Muka / Setoran Awal (USD)" id="3"/>
    <tableColumn name="Total Harga Paket Standard (USD)" id="4"/>
    <tableColumn name="Estimasi Masa Tunggu (Tahun)" id="5"/>
  </tableColumns>
  <tableStyleInfo name="Haji Plus-style" showColumnStripes="0" showFirstColumn="1" showLastColumn="1" showRowStripes="1"/>
</table>
</file>

<file path=xl/tables/table3.xml><?xml version="1.0" encoding="utf-8"?>
<table xmlns="http://schemas.openxmlformats.org/spreadsheetml/2006/main" ref="A1:D9" displayName="Table2" name="Table2" id="3">
  <tableColumns count="4">
    <tableColumn name="Tahun Keberangkatan" id="1"/>
    <tableColumn name="Biaya Minimum Paket (USD)" id="2"/>
    <tableColumn name="Biaya Maksimum Paket (USD)" id="3"/>
    <tableColumn name="Catatan Risiko Keberhasilan Penerbitan Visa &amp; Hambatan Lapangan" id="4"/>
  </tableColumns>
  <tableStyleInfo name="Haji Furo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2010.0</v>
      </c>
      <c r="B2" s="3">
        <v>2.5E7</v>
      </c>
      <c r="C2" s="3">
        <v>3.005E7</v>
      </c>
      <c r="D2" s="3">
        <v>4450000.0</v>
      </c>
      <c r="E2" s="3">
        <v>3.45E7</v>
      </c>
      <c r="F2" s="4">
        <f t="shared" ref="F2:F18" si="1">SUM(B2,E2)</f>
        <v>59500000</v>
      </c>
    </row>
    <row r="3" ht="22.5" customHeight="1">
      <c r="A3" s="3">
        <v>2011.0</v>
      </c>
      <c r="B3" s="3">
        <v>2.5E7</v>
      </c>
      <c r="C3" s="3">
        <v>3.204E7</v>
      </c>
      <c r="D3" s="3">
        <v>7310000.0</v>
      </c>
      <c r="E3" s="3">
        <v>3.934E7</v>
      </c>
      <c r="F3" s="4">
        <f t="shared" si="1"/>
        <v>64340000</v>
      </c>
    </row>
    <row r="4" ht="22.5" customHeight="1">
      <c r="A4" s="3">
        <v>2012.0</v>
      </c>
      <c r="B4" s="3">
        <v>2.5E7</v>
      </c>
      <c r="C4" s="3">
        <v>3.716E7</v>
      </c>
      <c r="D4" s="3">
        <v>8770000.0</v>
      </c>
      <c r="E4" s="3">
        <v>4.593E7</v>
      </c>
      <c r="F4" s="4">
        <f t="shared" si="1"/>
        <v>70930000</v>
      </c>
    </row>
    <row r="5" ht="22.5" customHeight="1">
      <c r="A5" s="3">
        <v>2013.0</v>
      </c>
      <c r="B5" s="3">
        <v>2.5E7</v>
      </c>
      <c r="C5" s="3">
        <v>4.3E7</v>
      </c>
      <c r="D5" s="3">
        <v>1.411E7</v>
      </c>
      <c r="E5" s="3">
        <v>5.711E7</v>
      </c>
      <c r="F5" s="4">
        <f t="shared" si="1"/>
        <v>82110000</v>
      </c>
    </row>
    <row r="6" ht="22.5" customHeight="1">
      <c r="A6" s="3">
        <v>2014.0</v>
      </c>
      <c r="B6" s="3">
        <v>2.5E7</v>
      </c>
      <c r="C6" s="3">
        <v>4.003E7</v>
      </c>
      <c r="D6" s="3">
        <v>1.924E7</v>
      </c>
      <c r="E6" s="3">
        <v>5.927E7</v>
      </c>
      <c r="F6" s="4">
        <f t="shared" si="1"/>
        <v>84270000</v>
      </c>
    </row>
    <row r="7" ht="22.5" customHeight="1">
      <c r="A7" s="3">
        <v>2015.0</v>
      </c>
      <c r="B7" s="3">
        <v>2.5E7</v>
      </c>
      <c r="C7" s="3">
        <v>3.749E7</v>
      </c>
      <c r="D7" s="3">
        <v>2.407E7</v>
      </c>
      <c r="E7" s="3">
        <v>6.156E7</v>
      </c>
      <c r="F7" s="4">
        <f t="shared" si="1"/>
        <v>86560000</v>
      </c>
    </row>
    <row r="8" ht="22.5" customHeight="1">
      <c r="A8" s="3">
        <v>2016.0</v>
      </c>
      <c r="B8" s="3">
        <v>2.5E7</v>
      </c>
      <c r="C8" s="3">
        <v>3.46E7</v>
      </c>
      <c r="D8" s="3">
        <v>2.54E7</v>
      </c>
      <c r="E8" s="3">
        <v>6.0E7</v>
      </c>
      <c r="F8" s="4">
        <f t="shared" si="1"/>
        <v>85000000</v>
      </c>
    </row>
    <row r="9" ht="22.5" customHeight="1">
      <c r="A9" s="3">
        <v>2017.0</v>
      </c>
      <c r="B9" s="3">
        <v>2.5E7</v>
      </c>
      <c r="C9" s="3">
        <v>3.4890312E7</v>
      </c>
      <c r="D9" s="3">
        <v>2.69E7</v>
      </c>
      <c r="E9" s="3">
        <v>6.1790312E7</v>
      </c>
      <c r="F9" s="4">
        <f t="shared" si="1"/>
        <v>86790312</v>
      </c>
    </row>
    <row r="10" ht="22.5" customHeight="1">
      <c r="A10" s="3">
        <v>2018.0</v>
      </c>
      <c r="B10" s="3">
        <v>2.5E7</v>
      </c>
      <c r="C10" s="3">
        <v>3.5235602E7</v>
      </c>
      <c r="D10" s="3">
        <v>3.3724398E7</v>
      </c>
      <c r="E10" s="3">
        <v>6.896E7</v>
      </c>
      <c r="F10" s="4">
        <f t="shared" si="1"/>
        <v>93960000</v>
      </c>
    </row>
    <row r="11" ht="22.5" customHeight="1">
      <c r="A11" s="3">
        <v>2019.0</v>
      </c>
      <c r="B11" s="3">
        <v>2.5E7</v>
      </c>
      <c r="C11" s="3">
        <v>3.5235602E7</v>
      </c>
      <c r="D11" s="3">
        <v>3.3924398E7</v>
      </c>
      <c r="E11" s="3">
        <v>6.916E7</v>
      </c>
      <c r="F11" s="4">
        <f t="shared" si="1"/>
        <v>94160000</v>
      </c>
    </row>
    <row r="12" ht="22.5" customHeight="1">
      <c r="A12" s="3">
        <v>2020.0</v>
      </c>
      <c r="B12" s="3"/>
      <c r="C12" s="3"/>
      <c r="D12" s="3"/>
      <c r="E12" s="3"/>
      <c r="F12" s="4">
        <f t="shared" si="1"/>
        <v>0</v>
      </c>
    </row>
    <row r="13" ht="22.5" customHeight="1">
      <c r="A13" s="3">
        <v>2021.0</v>
      </c>
      <c r="B13" s="3"/>
      <c r="C13" s="3"/>
      <c r="D13" s="3"/>
      <c r="E13" s="3"/>
      <c r="F13" s="4">
        <f t="shared" si="1"/>
        <v>0</v>
      </c>
    </row>
    <row r="14" ht="22.5" customHeight="1">
      <c r="A14" s="3">
        <v>2022.0</v>
      </c>
      <c r="B14" s="3">
        <v>2.5E7</v>
      </c>
      <c r="C14" s="3">
        <v>3.9886009E7</v>
      </c>
      <c r="D14" s="3">
        <v>5.791E7</v>
      </c>
      <c r="E14" s="3">
        <v>9.7796009E7</v>
      </c>
      <c r="F14" s="4">
        <f t="shared" si="1"/>
        <v>122796009</v>
      </c>
    </row>
    <row r="15" ht="22.5" customHeight="1">
      <c r="A15" s="3">
        <v>2023.0</v>
      </c>
      <c r="B15" s="3">
        <v>2.5E7</v>
      </c>
      <c r="C15" s="3">
        <v>4.98127E7</v>
      </c>
      <c r="D15" s="3">
        <v>4.0237937E7</v>
      </c>
      <c r="E15" s="3">
        <v>9.0050637E7</v>
      </c>
      <c r="F15" s="4">
        <f t="shared" si="1"/>
        <v>115050637</v>
      </c>
    </row>
    <row r="16" ht="22.5" customHeight="1">
      <c r="A16" s="3">
        <v>2024.0</v>
      </c>
      <c r="B16" s="3">
        <v>2.5E7</v>
      </c>
      <c r="C16" s="3">
        <v>5.6046172E7</v>
      </c>
      <c r="D16" s="3">
        <v>3.7363828E7</v>
      </c>
      <c r="E16" s="3">
        <v>9.341E7</v>
      </c>
      <c r="F16" s="4">
        <f t="shared" si="1"/>
        <v>118410000</v>
      </c>
    </row>
    <row r="17" ht="22.5" customHeight="1">
      <c r="A17" s="3">
        <v>2025.0</v>
      </c>
      <c r="B17" s="3">
        <v>2.5E7</v>
      </c>
      <c r="C17" s="3">
        <v>5.543175E7</v>
      </c>
      <c r="D17" s="3">
        <v>3.3978508E7</v>
      </c>
      <c r="E17" s="3">
        <v>8.9410258E7</v>
      </c>
      <c r="F17" s="4">
        <f t="shared" si="1"/>
        <v>114410258</v>
      </c>
    </row>
    <row r="18" ht="22.5" customHeight="1">
      <c r="A18" s="3">
        <v>2026.0</v>
      </c>
      <c r="B18" s="3">
        <v>2.5E7</v>
      </c>
      <c r="C18" s="3">
        <v>5.4193806E7</v>
      </c>
      <c r="D18" s="3">
        <v>3.3215558E7</v>
      </c>
      <c r="E18" s="3">
        <v>8.7409365E7</v>
      </c>
      <c r="F18" s="4">
        <f t="shared" si="1"/>
        <v>112409365</v>
      </c>
    </row>
  </sheetData>
  <dataValidations>
    <dataValidation type="custom" allowBlank="1" showDropDown="1" sqref="A2:E18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1.0"/>
  </cols>
  <sheetData>
    <row r="1" ht="22.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ht="22.5" customHeight="1">
      <c r="A2" s="5">
        <v>2010.0</v>
      </c>
      <c r="B2" s="5" t="s">
        <v>11</v>
      </c>
      <c r="C2" s="5">
        <v>4000.0</v>
      </c>
      <c r="D2" s="5">
        <v>6500.0</v>
      </c>
      <c r="E2" s="6">
        <v>46145.0</v>
      </c>
    </row>
    <row r="3" ht="22.5" customHeight="1">
      <c r="A3" s="5">
        <v>2011.0</v>
      </c>
      <c r="B3" s="5" t="s">
        <v>12</v>
      </c>
      <c r="C3" s="5">
        <v>4000.0</v>
      </c>
      <c r="D3" s="5">
        <v>7000.0</v>
      </c>
      <c r="E3" s="6">
        <v>46145.0</v>
      </c>
    </row>
    <row r="4" ht="22.5" customHeight="1">
      <c r="A4" s="5">
        <v>2012.0</v>
      </c>
      <c r="B4" s="5" t="s">
        <v>13</v>
      </c>
      <c r="C4" s="5">
        <v>4000.0</v>
      </c>
      <c r="D4" s="5">
        <v>7500.0</v>
      </c>
      <c r="E4" s="6">
        <v>46146.0</v>
      </c>
    </row>
    <row r="5" ht="22.5" customHeight="1">
      <c r="A5" s="5">
        <v>2013.0</v>
      </c>
      <c r="B5" s="5" t="s">
        <v>13</v>
      </c>
      <c r="C5" s="5">
        <v>4000.0</v>
      </c>
      <c r="D5" s="5">
        <v>8000.0</v>
      </c>
      <c r="E5" s="6">
        <v>46178.0</v>
      </c>
    </row>
    <row r="6" ht="22.5" customHeight="1">
      <c r="A6" s="5">
        <v>2014.0</v>
      </c>
      <c r="B6" s="5" t="s">
        <v>14</v>
      </c>
      <c r="C6" s="5">
        <v>4000.0</v>
      </c>
      <c r="D6" s="5">
        <v>8000.0</v>
      </c>
      <c r="E6" s="6">
        <v>46208.0</v>
      </c>
    </row>
    <row r="7" ht="22.5" customHeight="1">
      <c r="A7" s="5">
        <v>2015.0</v>
      </c>
      <c r="B7" s="5" t="s">
        <v>13</v>
      </c>
      <c r="C7" s="5">
        <v>4000.0</v>
      </c>
      <c r="D7" s="5">
        <v>8000.0</v>
      </c>
      <c r="E7" s="6">
        <v>46208.0</v>
      </c>
    </row>
    <row r="8" ht="22.5" customHeight="1">
      <c r="A8" s="5">
        <v>2016.0</v>
      </c>
      <c r="B8" s="5" t="s">
        <v>13</v>
      </c>
      <c r="C8" s="5">
        <v>4000.0</v>
      </c>
      <c r="D8" s="5">
        <v>8000.0</v>
      </c>
      <c r="E8" s="6">
        <v>46208.0</v>
      </c>
    </row>
    <row r="9" ht="22.5" customHeight="1">
      <c r="A9" s="5">
        <v>2017.0</v>
      </c>
      <c r="B9" s="5" t="s">
        <v>13</v>
      </c>
      <c r="C9" s="5">
        <v>4000.0</v>
      </c>
      <c r="D9" s="5">
        <v>8000.0</v>
      </c>
      <c r="E9" s="6">
        <v>46209.0</v>
      </c>
    </row>
    <row r="10" ht="22.5" customHeight="1">
      <c r="A10" s="5">
        <v>2018.0</v>
      </c>
      <c r="B10" s="5" t="s">
        <v>15</v>
      </c>
      <c r="C10" s="5">
        <v>4500.0</v>
      </c>
      <c r="D10" s="5">
        <v>11500.0</v>
      </c>
      <c r="E10" s="6">
        <v>46272.0</v>
      </c>
    </row>
    <row r="11" ht="22.5" customHeight="1">
      <c r="A11" s="5">
        <v>2019.0</v>
      </c>
      <c r="B11" s="5" t="s">
        <v>15</v>
      </c>
      <c r="C11" s="5">
        <v>4500.0</v>
      </c>
      <c r="D11" s="5">
        <v>11500.0</v>
      </c>
      <c r="E11" s="6">
        <v>46272.0</v>
      </c>
    </row>
    <row r="12" ht="22.5" customHeight="1">
      <c r="A12" s="5">
        <v>2020.0</v>
      </c>
      <c r="B12" s="5" t="s">
        <v>13</v>
      </c>
      <c r="C12" s="5">
        <v>4000.0</v>
      </c>
      <c r="D12" s="5">
        <v>8000.0</v>
      </c>
      <c r="E12" s="6">
        <v>46272.0</v>
      </c>
    </row>
    <row r="13" ht="22.5" customHeight="1">
      <c r="A13" s="5">
        <v>2021.0</v>
      </c>
      <c r="B13" s="5" t="s">
        <v>13</v>
      </c>
      <c r="C13" s="5">
        <v>4000.0</v>
      </c>
      <c r="D13" s="5">
        <v>8000.0</v>
      </c>
      <c r="E13" s="6">
        <v>46272.0</v>
      </c>
    </row>
    <row r="14" ht="22.5" customHeight="1">
      <c r="A14" s="5">
        <v>2022.0</v>
      </c>
      <c r="B14" s="5" t="s">
        <v>13</v>
      </c>
      <c r="C14" s="5">
        <v>4000.0</v>
      </c>
      <c r="D14" s="5">
        <v>8000.0</v>
      </c>
      <c r="E14" s="6">
        <v>46272.0</v>
      </c>
    </row>
    <row r="15" ht="22.5" customHeight="1">
      <c r="A15" s="5">
        <v>2023.0</v>
      </c>
      <c r="B15" s="5" t="s">
        <v>16</v>
      </c>
      <c r="C15" s="5">
        <v>4800.0</v>
      </c>
      <c r="D15" s="5">
        <v>14000.0</v>
      </c>
      <c r="E15" s="6">
        <v>46300.0</v>
      </c>
    </row>
    <row r="16" ht="22.5" customHeight="1">
      <c r="A16" s="5">
        <v>2024.0</v>
      </c>
      <c r="B16" s="5" t="s">
        <v>17</v>
      </c>
      <c r="C16" s="5">
        <v>4300.0</v>
      </c>
      <c r="D16" s="5">
        <v>15000.0</v>
      </c>
      <c r="E16" s="6">
        <v>46272.0</v>
      </c>
    </row>
    <row r="17" ht="22.5" customHeight="1">
      <c r="A17" s="5">
        <v>2025.0</v>
      </c>
      <c r="B17" s="5" t="s">
        <v>18</v>
      </c>
      <c r="C17" s="5">
        <v>4000.0</v>
      </c>
      <c r="D17" s="5">
        <v>8000.0</v>
      </c>
      <c r="E17" s="6">
        <v>46208.0</v>
      </c>
    </row>
    <row r="18" ht="22.5" customHeight="1">
      <c r="A18" s="5">
        <v>2026.0</v>
      </c>
      <c r="B18" s="5" t="s">
        <v>19</v>
      </c>
      <c r="C18" s="5">
        <v>4500.0</v>
      </c>
      <c r="D18" s="5">
        <v>11950.0</v>
      </c>
      <c r="E18" s="6">
        <v>46208.0</v>
      </c>
    </row>
  </sheetData>
  <dataValidations>
    <dataValidation type="custom" allowBlank="1" showDropDown="1" sqref="E2:E18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0"/>
    <col customWidth="1" min="4" max="4" width="51.25"/>
  </cols>
  <sheetData>
    <row r="1" ht="22.5" customHeight="1">
      <c r="A1" s="1" t="s">
        <v>0</v>
      </c>
      <c r="B1" s="1" t="s">
        <v>20</v>
      </c>
      <c r="C1" s="1" t="s">
        <v>21</v>
      </c>
      <c r="D1" s="1" t="s">
        <v>22</v>
      </c>
    </row>
    <row r="2" ht="22.5" customHeight="1">
      <c r="A2" s="5">
        <v>2019.0</v>
      </c>
      <c r="B2" s="5">
        <v>15000.0</v>
      </c>
      <c r="C2" s="5">
        <v>17500.0</v>
      </c>
      <c r="D2" s="5" t="s">
        <v>23</v>
      </c>
    </row>
    <row r="3" ht="22.5" customHeight="1">
      <c r="A3" s="5">
        <v>2020.0</v>
      </c>
      <c r="D3" s="5" t="s">
        <v>24</v>
      </c>
    </row>
    <row r="4" ht="22.5" customHeight="1">
      <c r="A4" s="5">
        <v>2021.0</v>
      </c>
      <c r="D4" s="5" t="s">
        <v>24</v>
      </c>
    </row>
    <row r="5" ht="22.5" customHeight="1">
      <c r="A5" s="5">
        <v>2022.0</v>
      </c>
      <c r="B5" s="5">
        <v>18000.0</v>
      </c>
      <c r="C5" s="5">
        <v>22000.0</v>
      </c>
      <c r="D5" s="5" t="s">
        <v>25</v>
      </c>
    </row>
    <row r="6" ht="22.5" customHeight="1">
      <c r="A6" s="5">
        <v>2023.0</v>
      </c>
      <c r="B6" s="5">
        <v>19000.0</v>
      </c>
      <c r="C6" s="5">
        <v>24000.0</v>
      </c>
      <c r="D6" s="5" t="s">
        <v>26</v>
      </c>
    </row>
    <row r="7" ht="22.5" customHeight="1">
      <c r="A7" s="5">
        <v>2024.0</v>
      </c>
      <c r="B7" s="5">
        <v>20000.0</v>
      </c>
      <c r="C7" s="5">
        <v>25000.0</v>
      </c>
      <c r="D7" s="5" t="s">
        <v>27</v>
      </c>
    </row>
    <row r="8" ht="22.5" customHeight="1">
      <c r="A8" s="5">
        <v>2025.0</v>
      </c>
      <c r="B8" s="5">
        <v>22000.0</v>
      </c>
      <c r="C8" s="5">
        <v>27000.0</v>
      </c>
      <c r="D8" s="5" t="s">
        <v>28</v>
      </c>
    </row>
    <row r="9" ht="22.5" customHeight="1">
      <c r="A9" s="5">
        <v>2026.0</v>
      </c>
      <c r="B9" s="5">
        <v>27900.0</v>
      </c>
      <c r="C9" s="5">
        <v>29900.0</v>
      </c>
      <c r="D9" s="5" t="s">
        <v>29</v>
      </c>
    </row>
  </sheetData>
  <drawing r:id="rId1"/>
  <tableParts count="1">
    <tablePart r:id="rId3"/>
  </tableParts>
</worksheet>
</file>